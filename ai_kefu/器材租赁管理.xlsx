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智能表1" sheetId="2" r:id="rId4"/>
  </sheets>
  <calcPr/>
</workbook>
</file>

<file path=xl/sharedStrings.xml><?xml version="1.0" encoding="utf-8"?>
<sst xmlns="http://schemas.openxmlformats.org/spreadsheetml/2006/main" count="138" uniqueCount="138">
  <si>
    <t/>
  </si>
  <si>
    <t>日期</t>
  </si>
  <si>
    <t>图片</t>
  </si>
  <si>
    <t>文本</t>
  </si>
  <si>
    <t>数字</t>
  </si>
  <si>
    <t>单选</t>
  </si>
  <si>
    <t>客户名</t>
  </si>
  <si>
    <t>发货时间</t>
  </si>
  <si>
    <t>状态</t>
  </si>
  <si>
    <t>型号</t>
  </si>
  <si>
    <t>SN</t>
  </si>
  <si>
    <t>城市</t>
  </si>
  <si>
    <t>上一轮租赁结束</t>
  </si>
  <si>
    <t>上一轮收货时间</t>
  </si>
  <si>
    <t>租赁开始时间</t>
  </si>
  <si>
    <t>租赁结束时间</t>
  </si>
  <si>
    <t>资产编号</t>
  </si>
  <si>
    <t>3 天内发货</t>
  </si>
  <si>
    <t>预计收货时间</t>
  </si>
  <si>
    <t>已寄出</t>
  </si>
  <si>
    <t>2025/8/14</t>
  </si>
  <si>
    <t>2025/8/16</t>
  </si>
  <si>
    <t>2025/8/17</t>
  </si>
  <si>
    <t>2025/8/18</t>
  </si>
  <si>
    <t>待寄出</t>
  </si>
  <si>
    <t>2025/8/20</t>
  </si>
  <si>
    <t>2025/8/22</t>
  </si>
  <si>
    <t>2025/8/24</t>
  </si>
  <si>
    <t>2025/8/27</t>
  </si>
  <si>
    <t>2025/8/26</t>
  </si>
  <si>
    <t>2025/8/21</t>
  </si>
  <si>
    <t>2025/8/19</t>
  </si>
  <si>
    <t>2025/8/15</t>
  </si>
  <si>
    <t>2025/8/28</t>
  </si>
  <si>
    <t>2025/8/30</t>
  </si>
  <si>
    <t>2025/9/1</t>
  </si>
  <si>
    <t>2025/9/2</t>
  </si>
  <si>
    <t>2025/8/23</t>
  </si>
  <si>
    <t>2025/8/25</t>
  </si>
  <si>
    <t>2025/8/13</t>
  </si>
  <si>
    <r>
      <rPr/>
      <t>2001</t>
    </r>
  </si>
  <si>
    <r>
      <rPr/>
      <t>X200U</t>
    </r>
  </si>
  <si>
    <r>
      <rPr/>
      <t>10AF4C15P8002JU</t>
    </r>
  </si>
  <si>
    <r>
      <rPr/>
      <t>x***0</t>
    </r>
  </si>
  <si>
    <r>
      <rPr/>
      <t>东莞</t>
    </r>
  </si>
  <si>
    <r>
      <rPr>
        <color rgb="FFFF0000"/>
      </rPr>
      <t>开心的橙汁 l</t>
    </r>
  </si>
  <si>
    <r>
      <rPr/>
      <t xml:space="preserve"> 东营</t>
    </r>
  </si>
  <si>
    <r>
      <rPr/>
      <t>2002</t>
    </r>
  </si>
  <si>
    <r>
      <rPr/>
      <t>10AF4F2N88002K0</t>
    </r>
  </si>
  <si>
    <r>
      <rPr/>
      <t>牙花花花花</t>
    </r>
  </si>
  <si>
    <r>
      <rPr/>
      <t>长沙</t>
    </r>
  </si>
  <si>
    <r>
      <rPr/>
      <t>2003</t>
    </r>
  </si>
  <si>
    <r>
      <rPr/>
      <t>10AF5R2EJC003GQ</t>
    </r>
  </si>
  <si>
    <r>
      <rPr/>
      <t>偷懒的北极贝</t>
    </r>
  </si>
  <si>
    <r>
      <rPr/>
      <t>深圳</t>
    </r>
  </si>
  <si>
    <r>
      <rPr/>
      <t>2004</t>
    </r>
  </si>
  <si>
    <r>
      <rPr/>
      <t>10AF6C23YF0040C</t>
    </r>
  </si>
  <si>
    <r>
      <rPr/>
      <t>北宋诚恳的杏仁</t>
    </r>
  </si>
  <si>
    <r>
      <rPr/>
      <t>北京</t>
    </r>
  </si>
  <si>
    <r>
      <rPr/>
      <t>2005</t>
    </r>
  </si>
  <si>
    <r>
      <rPr/>
      <t>10AF4D034M002LD</t>
    </r>
  </si>
  <si>
    <r>
      <rPr/>
      <t>纠结的酱油女士</t>
    </r>
  </si>
  <si>
    <r>
      <rPr/>
      <t>2006</t>
    </r>
  </si>
  <si>
    <r>
      <rPr/>
      <t>10AF4U05QK002ZB</t>
    </r>
  </si>
  <si>
    <r>
      <rPr/>
      <t>0076</t>
    </r>
  </si>
  <si>
    <r>
      <rPr/>
      <t>福州</t>
    </r>
  </si>
  <si>
    <r>
      <rPr/>
      <t>2007</t>
    </r>
  </si>
  <si>
    <r>
      <rPr/>
      <t>10AF5X2HDQ003M7</t>
    </r>
  </si>
  <si>
    <r>
      <rPr/>
      <t>77isme78</t>
    </r>
  </si>
  <si>
    <r>
      <rPr/>
      <t>2008</t>
    </r>
  </si>
  <si>
    <r>
      <rPr/>
      <t>10AF7H1QM0004Y6</t>
    </r>
  </si>
  <si>
    <r>
      <rPr/>
      <t>朝花夕拾？</t>
    </r>
  </si>
  <si>
    <r>
      <rPr/>
      <t>2009</t>
    </r>
  </si>
  <si>
    <r>
      <rPr/>
      <t>10AF7423K3004PL</t>
    </r>
  </si>
  <si>
    <r>
      <rPr/>
      <t>天蛇星健谈的蘑菇</t>
    </r>
  </si>
  <si>
    <r>
      <rPr/>
      <t>武汉</t>
    </r>
  </si>
  <si>
    <r>
      <rPr/>
      <t>2010</t>
    </r>
  </si>
  <si>
    <r>
      <rPr/>
      <t>10AF4U0FMT002ZB</t>
    </r>
  </si>
  <si>
    <r>
      <rPr/>
      <t>c***心</t>
    </r>
  </si>
  <si>
    <r>
      <rPr/>
      <t>2011</t>
    </r>
  </si>
  <si>
    <r>
      <rPr/>
      <t>10AF561KHA0035K</t>
    </r>
  </si>
  <si>
    <r>
      <rPr/>
      <t>votrnomzyx</t>
    </r>
  </si>
  <si>
    <r>
      <rPr/>
      <t xml:space="preserve"> 珠海</t>
    </r>
  </si>
  <si>
    <r>
      <rPr/>
      <t>2012</t>
    </r>
  </si>
  <si>
    <r>
      <rPr/>
      <t>10AF3S0EQQ00206</t>
    </r>
  </si>
  <si>
    <r>
      <rPr/>
      <t>伊呀 Ken</t>
    </r>
  </si>
  <si>
    <r>
      <rPr/>
      <t xml:space="preserve"> 佛山</t>
    </r>
  </si>
  <si>
    <r>
      <rPr/>
      <t>勋诗</t>
    </r>
  </si>
  <si>
    <r>
      <rPr/>
      <t>广州</t>
    </r>
  </si>
  <si>
    <r>
      <rPr/>
      <t>2013</t>
    </r>
  </si>
  <si>
    <r>
      <rPr/>
      <t>10AF4U0D60002ZB</t>
    </r>
  </si>
  <si>
    <r>
      <rPr/>
      <t>～斐啊斐～</t>
    </r>
  </si>
  <si>
    <r>
      <rPr/>
      <t>上海</t>
    </r>
  </si>
  <si>
    <r>
      <rPr/>
      <t>2014</t>
    </r>
  </si>
  <si>
    <r>
      <rPr/>
      <t>10AF6K10B30046N</t>
    </r>
  </si>
  <si>
    <r>
      <rPr/>
      <t>djwybwcs</t>
    </r>
  </si>
  <si>
    <r>
      <rPr/>
      <t>珠海</t>
    </r>
  </si>
  <si>
    <r>
      <rPr/>
      <t>2015</t>
    </r>
  </si>
  <si>
    <r>
      <rPr/>
      <t>10AF6MOPF00049M</t>
    </r>
  </si>
  <si>
    <r>
      <rPr/>
      <t>191tan</t>
    </r>
  </si>
  <si>
    <r>
      <rPr/>
      <t>2016</t>
    </r>
  </si>
  <si>
    <r>
      <rPr/>
      <t>10AF6D0Q7800439</t>
    </r>
  </si>
  <si>
    <r>
      <rPr/>
      <t>pinky_Haru</t>
    </r>
  </si>
  <si>
    <r>
      <rPr/>
      <t>2017</t>
    </r>
  </si>
  <si>
    <r>
      <rPr/>
      <t>10AF4F0A99002K0</t>
    </r>
  </si>
  <si>
    <r>
      <rPr/>
      <t>华中高颜值杏仁</t>
    </r>
  </si>
  <si>
    <r>
      <rPr/>
      <t>X 的小梨涡</t>
    </r>
  </si>
  <si>
    <r>
      <rPr/>
      <t>2018</t>
    </r>
  </si>
  <si>
    <r>
      <rPr/>
      <t>10AF571CSR00375</t>
    </r>
  </si>
  <si>
    <r>
      <rPr/>
      <t>广东的靓仔在哪</t>
    </r>
  </si>
  <si>
    <r>
      <rPr/>
      <t>2019</t>
    </r>
  </si>
  <si>
    <r>
      <rPr/>
      <t>10AF6S304P004E9</t>
    </r>
  </si>
  <si>
    <r>
      <rPr/>
      <t>stnny</t>
    </r>
  </si>
  <si>
    <r>
      <rPr/>
      <t>2020</t>
    </r>
  </si>
  <si>
    <r>
      <rPr/>
      <t>10AF4COULP002JU</t>
    </r>
  </si>
  <si>
    <r>
      <rPr/>
      <t>双蛋小迷妹</t>
    </r>
  </si>
  <si>
    <r>
      <rPr/>
      <t>海南</t>
    </r>
  </si>
  <si>
    <r>
      <rPr/>
      <t>2021</t>
    </r>
  </si>
  <si>
    <r>
      <rPr>
        <b val="true"/>
      </rPr>
      <t>10AF6MOPDK0049M</t>
    </r>
  </si>
  <si>
    <r>
      <rPr/>
      <t>xixi少剁手</t>
    </r>
  </si>
  <si>
    <r>
      <rPr/>
      <t>2022</t>
    </r>
  </si>
  <si>
    <r>
      <rPr/>
      <t>10AF4N0BXU002NC</t>
    </r>
  </si>
  <si>
    <r>
      <rPr/>
      <t>没有熬过</t>
    </r>
  </si>
  <si>
    <r>
      <rPr/>
      <t>2023</t>
    </r>
  </si>
  <si>
    <r>
      <rPr/>
      <t>10AF771R44004NB</t>
    </r>
  </si>
  <si>
    <r>
      <rPr/>
      <t>小小小熊swag-</t>
    </r>
  </si>
  <si>
    <r>
      <rPr/>
      <t>重庆</t>
    </r>
  </si>
  <si>
    <r>
      <rPr/>
      <t>2024</t>
    </r>
  </si>
  <si>
    <r>
      <rPr/>
      <t>10AF6S301B004E9</t>
    </r>
  </si>
  <si>
    <r>
      <rPr/>
      <t>宇宙弹吉他的椰子</t>
    </r>
  </si>
  <si>
    <r>
      <rPr/>
      <t>2025</t>
    </r>
  </si>
  <si>
    <r>
      <rPr/>
      <t>10AF5L1X57003DR</t>
    </r>
  </si>
  <si>
    <r>
      <rPr/>
      <t>yongirl-Q</t>
    </r>
  </si>
  <si>
    <r>
      <rPr/>
      <t>南昌</t>
    </r>
  </si>
  <si>
    <r>
      <rPr/>
      <t>2026</t>
    </r>
  </si>
  <si>
    <r>
      <rPr/>
      <t>咕噜咕噜锤</t>
    </r>
  </si>
  <si>
    <r>
      <rPr/>
      <t>10AF460K5G002E9</t>
    </r>
  </si>
  <si>
    <r>
      <rPr/>
      <t>汮匀风疯</t>
    </r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</si>
</sst>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color rgb="FFFF0000"/>
    </font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32"/>
  <sheetViews>
    <sheetView workbookViewId="0">
      <pane/>
    </sheetView>
  </sheetViews>
  <cols>
    <col min="1" max="1" width="10" customWidth="false"/>
    <col min="2" max="2" width="10" hidden="true" customWidth="false"/>
    <col min="3" max="3" width="23" customWidth="false"/>
    <col min="4" max="4" width="10" customWidth="false"/>
    <col min="5" max="5" width="15" customWidth="false"/>
    <col min="6" max="7" width="10" customWidth="false"/>
    <col min="8" max="11" width="11" customWidth="false"/>
    <col min="12" max="12" width="12" customWidth="false"/>
    <col min="13" max="13" width="14" customWidth="false"/>
  </cols>
  <sheetData>
    <row r="1" spans="1:13" ht="39" customHeight="false">
      <c r="A1" t="s">
        <v>16</v>
      </c>
      <c r="B1" t="s">
        <v>9</v>
      </c>
      <c r="C1" t="s">
        <v>10</v>
      </c>
      <c r="D1" t="s">
        <v>8</v>
      </c>
      <c r="E1" t="s">
        <v>6</v>
      </c>
      <c r="F1" t="s">
        <v>11</v>
      </c>
      <c r="G1" t="s">
        <v>12</v>
      </c>
      <c r="H1" t="s">
        <v>13</v>
      </c>
      <c r="I1" t="s">
        <v>7</v>
      </c>
      <c r="J1" t="s">
        <v>14</v>
      </c>
      <c r="K1" t="s">
        <v>15</v>
      </c>
      <c r="L1" t="s">
        <v>18</v>
      </c>
      <c r="M1" t="s">
        <v>17</v>
      </c>
    </row>
    <row r="2" spans="1:13" ht="39" customHeight="false">
      <c r="A2" s="4" t="s">
        <v>40</v>
      </c>
      <c r="B2" s="4" t="s">
        <v>41</v>
      </c>
      <c r="C2" s="4" t="s">
        <v>42</v>
      </c>
      <c r="D2" t="s">
        <v>19</v>
      </c>
      <c r="E2" s="4" t="s">
        <v>43</v>
      </c>
      <c r="F2" s="4" t="s">
        <v>44</v>
      </c>
      <c r="I2" t="s">
        <v>20</v>
      </c>
      <c r="J2" t="s">
        <v>21</v>
      </c>
      <c r="K2" t="s">
        <v>22</v>
      </c>
      <c r="L2" t="s">
        <v>23</v>
      </c>
      <c r="M2">
        <f>=AND((I2&gt;NOW()),(I2-NOW()&lt;3))</f>
      </c>
    </row>
    <row r="3" spans="1:13" ht="39" customHeight="false">
      <c r="A3" s="4" t="s">
        <v>40</v>
      </c>
      <c r="B3" s="4" t="s">
        <v>41</v>
      </c>
      <c r="C3" s="4" t="s">
        <v>42</v>
      </c>
      <c r="D3" t="s">
        <v>24</v>
      </c>
      <c r="E3" s="5" t="s">
        <v>45</v>
      </c>
      <c r="F3" s="4" t="s">
        <v>46</v>
      </c>
      <c r="G3" t="s">
        <v>22</v>
      </c>
      <c r="H3" t="s">
        <v>23</v>
      </c>
      <c r="I3" t="s">
        <v>25</v>
      </c>
      <c r="J3" t="s">
        <v>26</v>
      </c>
      <c r="K3" t="s">
        <v>27</v>
      </c>
      <c r="L3" t="s">
        <v>28</v>
      </c>
      <c r="M3">
        <f>=AND((I3&gt;NOW()),(I3-NOW()&lt;3))</f>
      </c>
    </row>
    <row r="4" spans="1:13" ht="39" customHeight="false">
      <c r="A4" s="4" t="s">
        <v>47</v>
      </c>
      <c r="B4" s="4" t="s">
        <v>41</v>
      </c>
      <c r="C4" s="4" t="s">
        <v>48</v>
      </c>
      <c r="D4" t="s">
        <v>19</v>
      </c>
      <c r="E4" s="4" t="s">
        <v>49</v>
      </c>
      <c r="F4" s="4" t="s">
        <v>50</v>
      </c>
      <c r="I4" t="s">
        <v>20</v>
      </c>
      <c r="J4" t="s">
        <v>21</v>
      </c>
      <c r="K4" t="s">
        <v>22</v>
      </c>
      <c r="L4" t="s">
        <v>25</v>
      </c>
      <c r="M4">
        <f>=AND((I4&gt;NOW()),(I4-NOW()&lt;3))</f>
      </c>
    </row>
    <row r="5" spans="1:13" ht="39" customHeight="false">
      <c r="A5" s="4" t="s">
        <v>51</v>
      </c>
      <c r="B5" s="4" t="s">
        <v>41</v>
      </c>
      <c r="C5" s="4" t="s">
        <v>52</v>
      </c>
      <c r="D5" t="s">
        <v>19</v>
      </c>
      <c r="E5" s="4" t="s">
        <v>53</v>
      </c>
      <c r="F5" s="4" t="s">
        <v>54</v>
      </c>
      <c r="I5" t="s">
        <v>21</v>
      </c>
      <c r="J5" t="s">
        <v>25</v>
      </c>
      <c r="K5" t="s">
        <v>27</v>
      </c>
      <c r="L5" t="s">
        <v>29</v>
      </c>
      <c r="M5">
        <f>=AND((I5&gt;NOW()),(I5-NOW()&lt;3))</f>
      </c>
    </row>
    <row r="6" spans="1:13" ht="39" customHeight="false">
      <c r="A6" s="4" t="s">
        <v>55</v>
      </c>
      <c r="B6" s="4" t="s">
        <v>41</v>
      </c>
      <c r="C6" s="4" t="s">
        <v>56</v>
      </c>
      <c r="D6" t="s">
        <v>19</v>
      </c>
      <c r="E6" s="4" t="s">
        <v>57</v>
      </c>
      <c r="F6" s="4" t="s">
        <v>58</v>
      </c>
      <c r="I6" t="s">
        <v>20</v>
      </c>
      <c r="J6" t="s">
        <v>22</v>
      </c>
      <c r="K6" t="s">
        <v>23</v>
      </c>
      <c r="L6" t="s">
        <v>30</v>
      </c>
      <c r="M6">
        <f>=AND((I6&gt;NOW()),(I6-NOW()&lt;3))</f>
      </c>
    </row>
    <row r="7" spans="1:13" ht="39" customHeight="false">
      <c r="A7" s="4" t="s">
        <v>59</v>
      </c>
      <c r="B7" s="4" t="s">
        <v>41</v>
      </c>
      <c r="C7" s="4" t="s">
        <v>60</v>
      </c>
      <c r="D7" t="s">
        <v>19</v>
      </c>
      <c r="E7" s="4" t="s">
        <v>61</v>
      </c>
      <c r="F7" s="4" t="s">
        <v>58</v>
      </c>
      <c r="I7" t="s">
        <v>20</v>
      </c>
      <c r="J7" t="s">
        <v>22</v>
      </c>
      <c r="K7" t="s">
        <v>23</v>
      </c>
      <c r="L7" t="s">
        <v>30</v>
      </c>
      <c r="M7">
        <f>=AND((I7&gt;NOW()),(I7-NOW()&lt;3))</f>
      </c>
    </row>
    <row r="8" spans="1:13" ht="39" customHeight="false">
      <c r="A8" s="4" t="s">
        <v>62</v>
      </c>
      <c r="B8" s="4" t="s">
        <v>41</v>
      </c>
      <c r="C8" s="4" t="s">
        <v>63</v>
      </c>
      <c r="D8" t="s">
        <v>19</v>
      </c>
      <c r="E8" s="4" t="s">
        <v>64</v>
      </c>
      <c r="F8" s="4" t="s">
        <v>65</v>
      </c>
      <c r="I8" t="s">
        <v>20</v>
      </c>
      <c r="J8" t="s">
        <v>21</v>
      </c>
      <c r="K8" t="s">
        <v>22</v>
      </c>
      <c r="L8" t="s">
        <v>25</v>
      </c>
      <c r="M8">
        <f>=AND((I8&gt;NOW()),(I8-NOW()&lt;3))</f>
      </c>
    </row>
    <row r="9" spans="1:13" ht="39" customHeight="false">
      <c r="A9" s="4" t="s">
        <v>66</v>
      </c>
      <c r="B9" s="4" t="s">
        <v>41</v>
      </c>
      <c r="C9" s="4" t="s">
        <v>67</v>
      </c>
      <c r="D9" t="s">
        <v>19</v>
      </c>
      <c r="E9" s="4" t="s">
        <v>68</v>
      </c>
      <c r="F9" s="4" t="s">
        <v>44</v>
      </c>
      <c r="I9" t="s">
        <v>20</v>
      </c>
      <c r="J9" t="s">
        <v>21</v>
      </c>
      <c r="K9" t="s">
        <v>22</v>
      </c>
      <c r="L9" t="s">
        <v>31</v>
      </c>
      <c r="M9">
        <f>=AND((I9&gt;NOW()),(I9-NOW()&lt;3))</f>
      </c>
    </row>
    <row r="10" spans="1:13" ht="39" customHeight="false">
      <c r="A10" s="4" t="s">
        <v>69</v>
      </c>
      <c r="B10" s="4" t="s">
        <v>41</v>
      </c>
      <c r="C10" s="4" t="s">
        <v>70</v>
      </c>
      <c r="D10" t="s">
        <v>19</v>
      </c>
      <c r="E10" s="4" t="s">
        <v>71</v>
      </c>
      <c r="F10" s="4" t="s">
        <v>44</v>
      </c>
      <c r="I10" t="s">
        <v>32</v>
      </c>
      <c r="J10" t="s">
        <v>21</v>
      </c>
      <c r="K10" t="s">
        <v>22</v>
      </c>
      <c r="L10" t="s">
        <v>31</v>
      </c>
      <c r="M10">
        <f>=AND((I10&gt;NOW()),(I10-NOW()&lt;3))</f>
      </c>
    </row>
    <row r="11" spans="1:13" ht="39" customHeight="false">
      <c r="A11" s="4" t="s">
        <v>72</v>
      </c>
      <c r="B11" s="4" t="s">
        <v>41</v>
      </c>
      <c r="C11" s="4" t="s">
        <v>73</v>
      </c>
      <c r="D11" t="s">
        <v>19</v>
      </c>
      <c r="E11" s="4" t="s">
        <v>74</v>
      </c>
      <c r="F11" s="4" t="s">
        <v>75</v>
      </c>
      <c r="I11" t="s">
        <v>32</v>
      </c>
      <c r="J11" t="s">
        <v>22</v>
      </c>
      <c r="K11" t="s">
        <v>23</v>
      </c>
      <c r="L11" t="s">
        <v>30</v>
      </c>
      <c r="M11">
        <f>=AND((I11&gt;NOW()),(I11-NOW()&lt;3))</f>
      </c>
    </row>
    <row r="12" spans="1:13" ht="39" customHeight="false">
      <c r="A12" s="4" t="s">
        <v>76</v>
      </c>
      <c r="B12" s="4" t="s">
        <v>41</v>
      </c>
      <c r="C12" s="4" t="s">
        <v>77</v>
      </c>
      <c r="D12" t="s">
        <v>19</v>
      </c>
      <c r="E12" s="4" t="s">
        <v>78</v>
      </c>
      <c r="F12" s="4" t="s">
        <v>54</v>
      </c>
      <c r="I12" t="s">
        <v>32</v>
      </c>
      <c r="J12" t="s">
        <v>22</v>
      </c>
      <c r="K12" t="s">
        <v>23</v>
      </c>
      <c r="L12" t="s">
        <v>25</v>
      </c>
      <c r="M12">
        <f>=AND((I12&gt;NOW()),(I12-NOW()&lt;3))</f>
      </c>
    </row>
    <row r="13" spans="1:13" ht="39" customHeight="false">
      <c r="A13" s="4" t="s">
        <v>79</v>
      </c>
      <c r="B13" s="4" t="s">
        <v>41</v>
      </c>
      <c r="C13" s="4" t="s">
        <v>80</v>
      </c>
      <c r="D13" t="s">
        <v>19</v>
      </c>
      <c r="E13" s="4" t="s">
        <v>81</v>
      </c>
      <c r="F13" s="4" t="s">
        <v>82</v>
      </c>
      <c r="I13" t="s">
        <v>32</v>
      </c>
      <c r="J13" t="s">
        <v>21</v>
      </c>
      <c r="K13" t="s">
        <v>22</v>
      </c>
      <c r="L13" t="s">
        <v>31</v>
      </c>
      <c r="M13">
        <f>=AND((I13&gt;NOW()),(I13-NOW()&lt;3))</f>
      </c>
    </row>
    <row r="14" spans="1:13" ht="39" customHeight="false">
      <c r="A14" s="4" t="s">
        <v>83</v>
      </c>
      <c r="B14" s="4" t="s">
        <v>41</v>
      </c>
      <c r="C14" s="4" t="s">
        <v>84</v>
      </c>
      <c r="D14" t="s">
        <v>19</v>
      </c>
      <c r="E14" s="4" t="s">
        <v>85</v>
      </c>
      <c r="F14" s="4" t="s">
        <v>86</v>
      </c>
      <c r="I14" t="s">
        <v>32</v>
      </c>
      <c r="J14" t="s">
        <v>22</v>
      </c>
      <c r="K14" t="s">
        <v>23</v>
      </c>
      <c r="L14" t="s">
        <v>25</v>
      </c>
      <c r="M14">
        <f>=AND((I14&gt;NOW()),(I14-NOW()&lt;3))</f>
      </c>
    </row>
    <row r="15" spans="1:13" ht="39" customHeight="false">
      <c r="A15" s="4" t="s">
        <v>83</v>
      </c>
      <c r="B15" s="4" t="s">
        <v>41</v>
      </c>
      <c r="C15" s="4" t="s">
        <v>84</v>
      </c>
      <c r="D15" t="s">
        <v>24</v>
      </c>
      <c r="E15" s="4" t="s">
        <v>87</v>
      </c>
      <c r="F15" s="4" t="s">
        <v>88</v>
      </c>
      <c r="G15" t="s">
        <v>23</v>
      </c>
      <c r="H15" t="s">
        <v>25</v>
      </c>
      <c r="I15" t="s">
        <v>33</v>
      </c>
      <c r="J15" t="s">
        <v>34</v>
      </c>
      <c r="K15" t="s">
        <v>35</v>
      </c>
      <c r="L15" t="s">
        <v>36</v>
      </c>
      <c r="M15">
        <f>=AND((I15&gt;NOW()),(I15-NOW()&lt;3))</f>
      </c>
    </row>
    <row r="16" spans="1:13" ht="39" customHeight="false">
      <c r="A16" s="4" t="s">
        <v>89</v>
      </c>
      <c r="B16" s="4" t="s">
        <v>41</v>
      </c>
      <c r="C16" s="4" t="s">
        <v>90</v>
      </c>
      <c r="D16" t="s">
        <v>19</v>
      </c>
      <c r="E16" s="4" t="s">
        <v>91</v>
      </c>
      <c r="F16" s="4" t="s">
        <v>92</v>
      </c>
      <c r="I16" t="s">
        <v>32</v>
      </c>
      <c r="J16" t="s">
        <v>23</v>
      </c>
      <c r="K16" t="s">
        <v>25</v>
      </c>
      <c r="L16" t="s">
        <v>37</v>
      </c>
      <c r="M16">
        <f>=AND((I16&gt;NOW()),(I16-NOW()&lt;3))</f>
      </c>
    </row>
    <row r="17" spans="1:13" ht="39" customHeight="false">
      <c r="A17" s="4" t="s">
        <v>93</v>
      </c>
      <c r="B17" s="4" t="s">
        <v>41</v>
      </c>
      <c r="C17" s="4" t="s">
        <v>94</v>
      </c>
      <c r="D17" t="s">
        <v>19</v>
      </c>
      <c r="E17" s="4" t="s">
        <v>95</v>
      </c>
      <c r="F17" s="4" t="s">
        <v>96</v>
      </c>
      <c r="I17" t="s">
        <v>20</v>
      </c>
      <c r="J17" t="s">
        <v>32</v>
      </c>
      <c r="K17" t="s">
        <v>22</v>
      </c>
      <c r="L17" t="s">
        <v>31</v>
      </c>
      <c r="M17">
        <f>=AND((I17&gt;NOW()),(I17-NOW()&lt;3))</f>
      </c>
    </row>
    <row r="18" spans="1:13" ht="39" customHeight="false">
      <c r="A18" s="4" t="s">
        <v>97</v>
      </c>
      <c r="B18" s="4" t="s">
        <v>41</v>
      </c>
      <c r="C18" s="4" t="s">
        <v>98</v>
      </c>
      <c r="D18" t="s">
        <v>19</v>
      </c>
      <c r="E18" s="4" t="s">
        <v>99</v>
      </c>
      <c r="F18" s="4" t="s">
        <v>54</v>
      </c>
      <c r="I18" t="s">
        <v>20</v>
      </c>
      <c r="J18" t="s">
        <v>21</v>
      </c>
      <c r="K18" t="s">
        <v>23</v>
      </c>
      <c r="L18" t="s">
        <v>25</v>
      </c>
      <c r="M18">
        <f>=AND((I18&gt;NOW()),(I18-NOW()&lt;3))</f>
      </c>
    </row>
    <row r="19" spans="1:13" ht="39" customHeight="false">
      <c r="A19" s="4" t="s">
        <v>100</v>
      </c>
      <c r="B19" s="4" t="s">
        <v>41</v>
      </c>
      <c r="C19" s="4" t="s">
        <v>101</v>
      </c>
      <c r="D19" t="s">
        <v>19</v>
      </c>
      <c r="E19" s="4" t="s">
        <v>102</v>
      </c>
      <c r="F19" s="4" t="s">
        <v>92</v>
      </c>
      <c r="I19" t="s">
        <v>20</v>
      </c>
      <c r="J19" t="s">
        <v>23</v>
      </c>
      <c r="K19" t="s">
        <v>31</v>
      </c>
      <c r="L19" t="s">
        <v>26</v>
      </c>
      <c r="M19">
        <f>=AND((I19&gt;NOW()),(I19-NOW()&lt;3))</f>
      </c>
    </row>
    <row r="20" spans="1:13" ht="39" customHeight="false">
      <c r="A20" s="4" t="s">
        <v>103</v>
      </c>
      <c r="B20" s="4" t="s">
        <v>41</v>
      </c>
      <c r="C20" s="4" t="s">
        <v>104</v>
      </c>
      <c r="D20" t="s">
        <v>19</v>
      </c>
      <c r="E20" s="4" t="s">
        <v>105</v>
      </c>
      <c r="F20" s="4" t="s">
        <v>88</v>
      </c>
      <c r="I20" t="s">
        <v>20</v>
      </c>
      <c r="J20" t="s">
        <v>32</v>
      </c>
      <c r="K20" t="s">
        <v>21</v>
      </c>
      <c r="L20" t="s">
        <v>23</v>
      </c>
      <c r="M20">
        <f>=AND((I20&gt;NOW()),(I20-NOW()&lt;3))</f>
      </c>
    </row>
    <row r="21" spans="1:13" ht="39" customHeight="false">
      <c r="A21" s="4" t="s">
        <v>103</v>
      </c>
      <c r="B21" s="4" t="s">
        <v>41</v>
      </c>
      <c r="C21" s="4" t="s">
        <v>104</v>
      </c>
      <c r="D21" t="s">
        <v>24</v>
      </c>
      <c r="E21" s="4" t="s">
        <v>106</v>
      </c>
      <c r="F21" s="4" t="s">
        <v>44</v>
      </c>
      <c r="G21" t="s">
        <v>21</v>
      </c>
      <c r="H21" t="s">
        <v>23</v>
      </c>
      <c r="I21" t="s">
        <v>26</v>
      </c>
      <c r="J21" t="s">
        <v>37</v>
      </c>
      <c r="K21" t="s">
        <v>38</v>
      </c>
      <c r="L21" t="s">
        <v>28</v>
      </c>
      <c r="M21">
        <f>=AND((I21&gt;NOW()),(I21-NOW()&lt;3))</f>
      </c>
    </row>
    <row r="22" spans="1:13" ht="39" customHeight="false">
      <c r="A22" s="4" t="s">
        <v>107</v>
      </c>
      <c r="B22" s="4" t="s">
        <v>41</v>
      </c>
      <c r="C22" s="4" t="s">
        <v>108</v>
      </c>
      <c r="D22" t="s">
        <v>19</v>
      </c>
      <c r="E22" s="4" t="s">
        <v>109</v>
      </c>
      <c r="F22" s="4" t="s">
        <v>44</v>
      </c>
      <c r="I22" t="s">
        <v>20</v>
      </c>
      <c r="J22" t="s">
        <v>21</v>
      </c>
      <c r="K22" t="s">
        <v>22</v>
      </c>
      <c r="L22" t="s">
        <v>31</v>
      </c>
      <c r="M22">
        <f>=AND((I22&gt;NOW()),(I22-NOW()&lt;3))</f>
      </c>
    </row>
    <row r="23" spans="1:13" ht="39" customHeight="false">
      <c r="A23" s="4" t="s">
        <v>110</v>
      </c>
      <c r="B23" s="4" t="s">
        <v>41</v>
      </c>
      <c r="C23" s="4" t="s">
        <v>111</v>
      </c>
      <c r="D23" t="s">
        <v>19</v>
      </c>
      <c r="E23" s="4" t="s">
        <v>112</v>
      </c>
      <c r="F23" s="4" t="s">
        <v>88</v>
      </c>
      <c r="I23" t="s">
        <v>20</v>
      </c>
      <c r="J23" t="s">
        <v>32</v>
      </c>
      <c r="K23" t="s">
        <v>22</v>
      </c>
      <c r="L23" t="s">
        <v>31</v>
      </c>
      <c r="M23">
        <f>=AND((I23&gt;NOW()),(I23-NOW()&lt;3))</f>
      </c>
    </row>
    <row r="24" spans="1:13" ht="39" customHeight="false">
      <c r="A24" s="4" t="s">
        <v>113</v>
      </c>
      <c r="B24" s="4" t="s">
        <v>41</v>
      </c>
      <c r="C24" s="4" t="s">
        <v>114</v>
      </c>
      <c r="D24" t="s">
        <v>19</v>
      </c>
      <c r="E24" s="4" t="s">
        <v>115</v>
      </c>
      <c r="F24" s="4" t="s">
        <v>116</v>
      </c>
      <c r="I24" t="s">
        <v>20</v>
      </c>
      <c r="J24" t="s">
        <v>21</v>
      </c>
      <c r="K24" t="s">
        <v>22</v>
      </c>
      <c r="L24" t="s">
        <v>31</v>
      </c>
      <c r="M24">
        <f>=AND((I24&gt;NOW()),(I24-NOW()&lt;3))</f>
      </c>
    </row>
    <row r="25" spans="1:13" ht="39" customHeight="false">
      <c r="A25" s="4" t="s">
        <v>117</v>
      </c>
      <c r="B25" s="4" t="s">
        <v>41</v>
      </c>
      <c r="C25" s="6" t="s">
        <v>118</v>
      </c>
      <c r="D25" t="s">
        <v>19</v>
      </c>
      <c r="E25" s="4" t="s">
        <v>119</v>
      </c>
      <c r="F25" s="4" t="s">
        <v>92</v>
      </c>
      <c r="I25" t="s">
        <v>21</v>
      </c>
      <c r="J25" t="s">
        <v>25</v>
      </c>
      <c r="K25" t="s">
        <v>38</v>
      </c>
      <c r="L25" t="s">
        <v>28</v>
      </c>
      <c r="M25">
        <f>=AND((I25&gt;NOW()),(I25-NOW()&lt;3))</f>
      </c>
    </row>
    <row r="26" spans="1:13" ht="39" customHeight="false">
      <c r="A26" s="4" t="s">
        <v>120</v>
      </c>
      <c r="B26" s="4" t="s">
        <v>41</v>
      </c>
      <c r="C26" s="4" t="s">
        <v>121</v>
      </c>
      <c r="D26" t="s">
        <v>19</v>
      </c>
      <c r="E26" s="4" t="s">
        <v>122</v>
      </c>
      <c r="F26" s="4" t="s">
        <v>44</v>
      </c>
      <c r="I26" t="s">
        <v>39</v>
      </c>
      <c r="J26" t="s">
        <v>20</v>
      </c>
      <c r="K26" t="s">
        <v>23</v>
      </c>
      <c r="L26" t="s">
        <v>25</v>
      </c>
      <c r="M26">
        <f>=AND((I26&gt;NOW()),(I26-NOW()&lt;3))</f>
      </c>
    </row>
    <row r="27" spans="1:13" ht="39" customHeight="false">
      <c r="A27" s="4" t="s">
        <v>123</v>
      </c>
      <c r="B27" s="4" t="s">
        <v>41</v>
      </c>
      <c r="C27" s="4" t="s">
        <v>124</v>
      </c>
      <c r="D27" t="s">
        <v>19</v>
      </c>
      <c r="E27" s="4" t="s">
        <v>125</v>
      </c>
      <c r="F27" s="4" t="s">
        <v>126</v>
      </c>
      <c r="I27" t="s">
        <v>39</v>
      </c>
      <c r="J27" t="s">
        <v>21</v>
      </c>
      <c r="K27" t="s">
        <v>23</v>
      </c>
      <c r="L27" t="s">
        <v>25</v>
      </c>
      <c r="M27">
        <f>=AND((I27&gt;NOW()),(I27-NOW()&lt;3))</f>
      </c>
    </row>
    <row r="28" spans="1:13" ht="39" customHeight="false">
      <c r="A28" s="4" t="s">
        <v>127</v>
      </c>
      <c r="B28" s="4" t="s">
        <v>41</v>
      </c>
      <c r="C28" s="4" t="s">
        <v>128</v>
      </c>
      <c r="D28" t="s">
        <v>19</v>
      </c>
      <c r="E28" s="4" t="s">
        <v>129</v>
      </c>
      <c r="F28" s="4" t="s">
        <v>58</v>
      </c>
      <c r="I28" t="s">
        <v>39</v>
      </c>
      <c r="J28" t="s">
        <v>21</v>
      </c>
      <c r="K28" t="s">
        <v>23</v>
      </c>
      <c r="L28" t="s">
        <v>25</v>
      </c>
      <c r="M28">
        <f>=AND((I28&gt;NOW()),(I28-NOW()&lt;3))</f>
      </c>
    </row>
    <row r="29" spans="1:13" ht="39" customHeight="false">
      <c r="A29" s="4" t="s">
        <v>130</v>
      </c>
      <c r="B29" s="4" t="s">
        <v>41</v>
      </c>
      <c r="C29" s="4" t="s">
        <v>131</v>
      </c>
      <c r="D29" t="s">
        <v>19</v>
      </c>
      <c r="E29" s="4" t="s">
        <v>132</v>
      </c>
      <c r="F29" s="4" t="s">
        <v>133</v>
      </c>
      <c r="I29" t="s">
        <v>39</v>
      </c>
      <c r="J29" t="s">
        <v>21</v>
      </c>
      <c r="K29" t="s">
        <v>22</v>
      </c>
      <c r="L29" t="s">
        <v>31</v>
      </c>
      <c r="M29">
        <f>=AND((I29&gt;NOW()),(I29-NOW()&lt;3))</f>
      </c>
    </row>
    <row r="30" spans="1:13" ht="39" customHeight="false">
      <c r="A30" s="4" t="s">
        <v>134</v>
      </c>
      <c r="D30" t="s">
        <v>19</v>
      </c>
      <c r="E30" s="4" t="s">
        <v>135</v>
      </c>
      <c r="F30" s="4" t="s">
        <v>88</v>
      </c>
      <c r="I30" t="s">
        <v>32</v>
      </c>
      <c r="J30" t="s">
        <v>21</v>
      </c>
      <c r="K30" t="s">
        <v>22</v>
      </c>
      <c r="L30" t="s">
        <v>31</v>
      </c>
      <c r="M30">
        <f>=AND((I30&gt;NOW()),(I30-NOW()&lt;3))</f>
      </c>
    </row>
    <row r="31" spans="1:13" ht="39" customHeight="false">
      <c r="A31" s="4" t="s">
        <v>134</v>
      </c>
      <c r="B31" s="4" t="s">
        <v>41</v>
      </c>
      <c r="C31" s="4" t="s">
        <v>136</v>
      </c>
      <c r="D31" t="s">
        <v>24</v>
      </c>
      <c r="E31" s="4" t="s">
        <v>137</v>
      </c>
      <c r="F31" s="4" t="s">
        <v>54</v>
      </c>
      <c r="G31" t="s">
        <v>22</v>
      </c>
      <c r="H31" t="s">
        <v>31</v>
      </c>
      <c r="I31" t="s">
        <v>26</v>
      </c>
      <c r="J31" t="s">
        <v>27</v>
      </c>
      <c r="K31" t="s">
        <v>38</v>
      </c>
      <c r="L31" t="s">
        <v>28</v>
      </c>
      <c r="M31">
        <f>=AND((I31&gt;NOW()),(I31-NOW()&lt;3))</f>
      </c>
    </row>
    <row r="32" spans="2:13" ht="39" customHeight="false">
      <c r="B32" s="4" t="s">
        <v>41</v>
      </c>
      <c r="C32" s="4" t="s">
        <v>136</v>
      </c>
      <c r="M32">
        <f>=AND((I32&gt;NOW()),(I32-NOW()&lt;3))</f>
      </c>
    </row>
  </sheetData>
</worksheet>
</file>

<file path=xl/worksheets/sheet2.xml><?xml version="1.0" encoding="utf-8"?>
<worksheet xmlns="http://schemas.openxmlformats.org/spreadsheetml/2006/main">
  <sheetPr/>
  <dimension ref="E7"/>
  <sheetViews>
    <sheetView workbookViewId="0">
      <pane xSplit="1" topLeftCell="B1" state="frozen"/>
    </sheetView>
  </sheetViews>
  <cols>
    <col min="1" max="1" width="25" customWidth="false"/>
    <col min="2" max="5" width="19" customWidth="false"/>
  </cols>
  <sheetData>
    <row r="1" spans="1:5" ht="39" customHeight="false">
      <c r="A1" t="s">
        <v>3</v>
      </c>
      <c r="B1" t="s">
        <v>4</v>
      </c>
      <c r="C1" t="s">
        <v>5</v>
      </c>
      <c r="D1" t="s">
        <v>1</v>
      </c>
      <c r="E1" t="s">
        <v>2</v>
      </c>
    </row>
    <row r="2" spans="1:5" ht="39" customHeight="false"/>
    <row r="3" spans="1:5" ht="39" customHeight="false"/>
    <row r="4" spans="1:5" ht="39" customHeight="false"/>
    <row r="5" spans="1:5" ht="39" customHeight="false"/>
    <row r="6" spans="1:5" ht="39" customHeight="false"/>
    <row r="7" spans="1:5" ht="39" customHeight="false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2025-08-16T22:47:22Z</dcterms:created>
  <dcterms:modified xsi:type="dcterms:W3CDTF">2025-08-16T22:47:22Z</dcterms:modified>
</cp:coreProperties>
</file>